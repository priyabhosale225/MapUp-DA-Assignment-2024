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176428E6-CC11-C334-683E-B6102A28F97D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218882\Downloads\"/>
    </mc:Choice>
  </mc:AlternateContent>
  <bookViews>
    <workbookView xWindow="0" yWindow="504" windowWidth="29400" windowHeight="16296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20" l="1"/>
  <c r="C30" i="20"/>
  <c r="C31" i="20"/>
  <c r="C32" i="20"/>
  <c r="C33" i="20"/>
  <c r="C34" i="20"/>
  <c r="C35" i="20"/>
  <c r="C36" i="20"/>
  <c r="C37" i="20"/>
  <c r="C26" i="20"/>
  <c r="C27" i="20"/>
  <c r="C28" i="20"/>
  <c r="C29" i="20"/>
  <c r="C25" i="19"/>
  <c r="H42" i="1" l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7" i="16"/>
  <c r="B18" i="16"/>
  <c r="B19" i="16"/>
  <c r="B20" i="16"/>
  <c r="B21" i="16"/>
  <c r="B16" i="16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B9" i="18"/>
  <c r="B10" i="18"/>
  <c r="B11" i="18"/>
  <c r="B12" i="18"/>
  <c r="B13" i="18"/>
  <c r="B14" i="18"/>
  <c r="B29" i="18" l="1"/>
  <c r="D28" i="18"/>
  <c r="D30" i="18"/>
  <c r="E30" i="18"/>
  <c r="F30" i="18"/>
  <c r="C28" i="18"/>
  <c r="F28" i="18"/>
  <c r="B30" i="18"/>
  <c r="C30" i="18"/>
  <c r="F29" i="18"/>
  <c r="E29" i="18"/>
  <c r="E28" i="18"/>
  <c r="D29" i="18"/>
  <c r="C29" i="18"/>
  <c r="B28" i="18"/>
</calcChain>
</file>

<file path=xl/sharedStrings.xml><?xml version="1.0" encoding="utf-8"?>
<sst xmlns="http://schemas.openxmlformats.org/spreadsheetml/2006/main" count="339" uniqueCount="194">
  <si>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</si>
  <si>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</si>
  <si>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</si>
  <si>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</si>
  <si>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</si>
  <si>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</si>
  <si>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</si>
  <si>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</si>
  <si>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</si>
  <si>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</si>
  <si>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</si>
  <si>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</si>
  <si>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</si>
  <si>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</si>
  <si>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</si>
  <si>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</si>
  <si>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</si>
  <si>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</si>
  <si>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</si>
  <si>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</si>
  <si>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</si>
  <si>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</si>
  <si>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</si>
  <si>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</si>
  <si>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</si>
  <si>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</si>
  <si>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</si>
  <si>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</si>
  <si>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</si>
  <si>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</si>
  <si>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</si>
  <si>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</si>
  <si>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</si>
  <si>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</si>
  <si>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</si>
  <si>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</si>
  <si>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</si>
  <si>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</si>
  <si>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</si>
  <si>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</si>
  <si>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</si>
  <si>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</si>
  <si>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</si>
  <si>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</si>
  <si>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</si>
  <si>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</si>
  <si>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</si>
  <si>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</si>
  <si>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</si>
  <si>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</si>
  <si>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</si>
  <si>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</si>
  <si>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</si>
  <si>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</si>
  <si>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</si>
  <si>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</si>
  <si>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</si>
  <si>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</si>
  <si>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</si>
  <si>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</si>
  <si>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</si>
  <si>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</si>
  <si>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</si>
  <si>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</si>
  <si>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</si>
  <si>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</si>
  <si>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</si>
  <si>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</si>
  <si>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</si>
  <si>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</si>
  <si>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</si>
  <si>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</si>
  <si>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</si>
  <si>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</si>
  <si>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</si>
  <si>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</si>
  <si>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</si>
  <si>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</si>
  <si>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</si>
  <si>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</si>
  <si>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</si>
  <si>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</si>
  <si>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</si>
  <si>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</si>
  <si>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</si>
  <si>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</si>
  <si>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</si>
  <si>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</si>
  <si>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</si>
  <si>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</si>
  <si>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</si>
  <si>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</si>
  <si>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</si>
  <si>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</si>
  <si>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</si>
  <si>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</si>
  <si>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</si>
  <si>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</si>
  <si>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</si>
  <si>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</si>
  <si>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</si>
  <si>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</si>
  <si>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</si>
  <si>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</si>
  <si>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</si>
  <si>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</si>
  <si>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</si>
  <si>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</si>
  <si>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</si>
  <si>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</si>
  <si>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</si>
  <si>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</si>
  <si>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</si>
  <si>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</si>
  <si>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</si>
  <si>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</si>
  <si>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</si>
  <si>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</si>
  <si>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</si>
  <si>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</si>
  <si>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</si>
  <si>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</si>
  <si>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</si>
  <si>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</si>
  <si>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</si>
  <si>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</si>
  <si>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</si>
  <si>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</si>
  <si>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</si>
  <si>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</si>
  <si>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</si>
  <si>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</si>
  <si>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</si>
  <si>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</si>
  <si>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</si>
  <si>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</si>
  <si>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</si>
  <si>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</si>
  <si>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</si>
  <si>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</si>
  <si>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</si>
  <si>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</si>
  <si>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</si>
  <si>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</si>
  <si>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</si>
  <si>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</si>
  <si>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</si>
  <si>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</si>
  <si>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</si>
  <si>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</si>
  <si>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</si>
  <si>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</si>
  <si>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</si>
  <si>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</si>
  <si>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</si>
  <si>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</si>
  <si>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</si>
  <si>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</si>
  <si>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</si>
  <si>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</si>
  <si>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</si>
  <si>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</si>
  <si>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</si>
  <si>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</si>
  <si>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</si>
  <si>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</si>
  <si>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</si>
  <si>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</si>
  <si>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</si>
  <si>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</si>
  <si>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</si>
  <si>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</si>
  <si>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</si>
  <si>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</si>
  <si>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</si>
  <si>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</si>
  <si>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</si>
  <si>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 is :   =SUMIF(H2:H40, "&gt;20")</t>
  </si>
  <si>
    <t xml:space="preserve">Used LEFT, MID, RIGHT Functions </t>
  </si>
  <si>
    <t xml:space="preserve">Sum </t>
  </si>
  <si>
    <t>Formula is :   =SUMIF(C12:C21, "&lt;&gt;#N/A", C12:C21) + COUNTIF(C12:C21, "#N/A") * 20</t>
  </si>
  <si>
    <r>
      <t>1) Identify the Range</t>
    </r>
    <r>
      <rPr>
        <sz val="10"/>
        <color rgb="FF000000"/>
        <rFont val="Times New Roman"/>
        <family val="1"/>
      </rPr>
      <t xml:space="preserve">: This formula targets the sales data in the range </t>
    </r>
    <r>
      <rPr>
        <sz val="10"/>
        <color rgb="FF000000"/>
        <rFont val="Arial Unicode MS"/>
        <family val="2"/>
      </rPr>
      <t>A2:A100</t>
    </r>
    <r>
      <rPr>
        <sz val="10"/>
        <color rgb="FF000000"/>
        <rFont val="Times New Roman"/>
        <family val="1"/>
      </rPr>
      <t>.</t>
    </r>
  </si>
  <si>
    <t>2) Use of SUMIF:  The SUMIF function sums all values in the range that are not equal to #N/A. The condition "&lt;&gt;#N/A" specifies that we want to include only valid numeric values.</t>
  </si>
  <si>
    <t>3) Count #N/A Values: The COUNTIF function counts how many times #N/A appears in the specified range.</t>
  </si>
  <si>
    <t>4) Calculate Replacement Values : Each occurrence of #N/A is replaced by 20. This is done by multiplying the count of #N/A by 20.</t>
  </si>
  <si>
    <t>5) Final Calculation : The formula adds the sum of valid sales to the total contribution from the #N/A replacements, resulting in the overall total.</t>
  </si>
  <si>
    <t>Formula is :     =IFERROR(INDEX($B$12:$J$20, MATCH(VLOOKUP(A25, $M$12:$N$20, 2, FALSE), $A$12:$A$20, 0), MATCH(VLOOKUP(B25, $M$12:$N$20, 2, FALSE), $B$11:$J$11, 0)), "Not Found")</t>
  </si>
  <si>
    <r>
      <t>1) VLOOKUP</t>
    </r>
    <r>
      <rPr>
        <sz val="10"/>
        <color rgb="FF000000"/>
        <rFont val="Times New Roman"/>
        <family val="1"/>
      </rPr>
      <t xml:space="preserve">: Retrieves names associated with IDs in </t>
    </r>
    <r>
      <rPr>
        <sz val="10"/>
        <color rgb="FF000000"/>
        <rFont val="Arial Unicode MS"/>
        <family val="2"/>
      </rPr>
      <t>name_1</t>
    </r>
    <r>
      <rPr>
        <sz val="10"/>
        <color rgb="FF000000"/>
        <rFont val="Times New Roman"/>
        <family val="1"/>
      </rPr>
      <t xml:space="preserve"> (A25) and </t>
    </r>
    <r>
      <rPr>
        <sz val="10"/>
        <color rgb="FF000000"/>
        <rFont val="Arial Unicode MS"/>
        <family val="2"/>
      </rPr>
      <t>name_2</t>
    </r>
    <r>
      <rPr>
        <sz val="10"/>
        <color rgb="FF000000"/>
        <rFont val="Times New Roman"/>
        <family val="1"/>
      </rPr>
      <t xml:space="preserve"> (B25) from Table B.</t>
    </r>
  </si>
  <si>
    <r>
      <t>2) MATCH</t>
    </r>
    <r>
      <rPr>
        <sz val="10"/>
        <color rgb="FF000000"/>
        <rFont val="Times New Roman"/>
        <family val="1"/>
      </rPr>
      <t>: Finds the row index for the first name in Table A and the column index for the second name.</t>
    </r>
  </si>
  <si>
    <r>
      <t>3) INDEX</t>
    </r>
    <r>
      <rPr>
        <sz val="10"/>
        <color rgb="FF000000"/>
        <rFont val="Times New Roman"/>
        <family val="1"/>
      </rPr>
      <t>: Uses the row and column indices to get the corresponding value from Table A.</t>
    </r>
  </si>
  <si>
    <r>
      <t>4) IFERROR</t>
    </r>
    <r>
      <rPr>
        <sz val="10"/>
        <color rgb="FF000000"/>
        <rFont val="Times New Roman"/>
        <family val="1"/>
      </rPr>
      <t>: Returns "Not Found" if any error occurs (e.g., if a name isn't found).</t>
    </r>
  </si>
  <si>
    <r>
      <t>1) LEFT Function:</t>
    </r>
    <r>
      <rPr>
        <sz val="10"/>
        <color rgb="FF000000"/>
        <rFont val="Times New Roman"/>
        <family val="1"/>
      </rPr>
      <t xml:space="preserve"> Extracts the portion of the text before the first dash for </t>
    </r>
    <r>
      <rPr>
        <sz val="10"/>
        <color rgb="FF000000"/>
        <rFont val="Arial Unicode MS"/>
        <family val="2"/>
      </rPr>
      <t>col_1</t>
    </r>
    <r>
      <rPr>
        <sz val="10"/>
        <color rgb="FF000000"/>
        <rFont val="Times New Roman"/>
        <family val="1"/>
      </rPr>
      <t>.</t>
    </r>
  </si>
  <si>
    <r>
      <t>2) MID Function:</t>
    </r>
    <r>
      <rPr>
        <sz val="10"/>
        <color rgb="FF000000"/>
        <rFont val="Times New Roman"/>
        <family val="1"/>
      </rPr>
      <t xml:space="preserve"> Used to extract substrings between dashes for </t>
    </r>
    <r>
      <rPr>
        <sz val="10"/>
        <color rgb="FF000000"/>
        <rFont val="Arial Unicode MS"/>
        <family val="2"/>
      </rPr>
      <t>col_3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Arial Unicode MS"/>
        <family val="2"/>
      </rPr>
      <t>col_4</t>
    </r>
    <r>
      <rPr>
        <sz val="10"/>
        <color rgb="FF000000"/>
        <rFont val="Times New Roman"/>
        <family val="1"/>
      </rPr>
      <t xml:space="preserve">, and </t>
    </r>
    <r>
      <rPr>
        <sz val="10"/>
        <color rgb="FF000000"/>
        <rFont val="Arial Unicode MS"/>
        <family val="2"/>
      </rPr>
      <t>col_5</t>
    </r>
    <r>
      <rPr>
        <sz val="10"/>
        <color rgb="FF000000"/>
        <rFont val="Times New Roman"/>
        <family val="1"/>
      </rPr>
      <t>. It calculates the start position and length based on the positions of the dashes.</t>
    </r>
  </si>
  <si>
    <r>
      <t>3) RIGHT Function:</t>
    </r>
    <r>
      <rPr>
        <sz val="10"/>
        <color rgb="FF000000"/>
        <rFont val="Times New Roman"/>
        <family val="1"/>
      </rPr>
      <t xml:space="preserve"> Retrieves the last value after the final dash for </t>
    </r>
    <r>
      <rPr>
        <sz val="10"/>
        <color rgb="FF000000"/>
        <rFont val="Arial Unicode MS"/>
        <family val="2"/>
      </rPr>
      <t>col_6</t>
    </r>
    <r>
      <rPr>
        <sz val="10"/>
        <color rgb="FF000000"/>
        <rFont val="Times New Roman"/>
        <family val="1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</si>
</sst>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color rgb="FF000000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3" fillId="6" borderId="12" xfId="0" applyFont="1" applyFill="1" applyBorder="1"/>
    <xf numFmtId="166" fontId="7" fillId="0" borderId="0" xfId="0" applyNumberFormat="1" applyFont="1"/>
    <xf numFmtId="166" fontId="3" fillId="0" borderId="0" xfId="0" applyNumberFormat="1" applyFont="1"/>
    <xf numFmtId="0" fontId="17" fillId="0" borderId="0" xfId="0" applyFont="1"/>
    <xf numFmtId="0" fontId="9" fillId="0" borderId="0" xfId="0" applyFont="1" applyProtection="1"/>
    <xf numFmtId="0" fontId="8" fillId="6" borderId="1" xfId="0" applyFont="1" applyFill="1" applyBorder="1"/>
    <xf numFmtId="0" fontId="3" fillId="6" borderId="1" xfId="0" applyFont="1" applyFill="1" applyBorder="1"/>
    <xf numFmtId="0" fontId="8" fillId="0" borderId="3" xfId="0" applyFont="1" applyFill="1" applyBorder="1"/>
    <xf numFmtId="0" fontId="8" fillId="0" borderId="8" xfId="0" applyFont="1" applyFill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6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zoomScaleNormal="100" workbookViewId="0">
      <pane ySplit="1" topLeftCell="A26" activePane="bottomLeft" state="frozen"/>
      <selection pane="bottomLeft" activeCell="D47" sqref="D47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ht="15" thickBot="1" x14ac:dyDescent="0.35"/>
    <row r="42" spans="1:24" ht="15" thickBot="1" x14ac:dyDescent="0.35">
      <c r="G42" s="43" t="s">
        <v>179</v>
      </c>
      <c r="H42" s="43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B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7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12" zoomScaleNormal="100" workbookViewId="0">
      <selection activeCell="F36" sqref="F3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IFERROR(VLOOKUP(A6, Dataset!A:G, 7, FALSE), "")</f>
        <v>2.7</v>
      </c>
      <c r="C6" s="12">
        <f>IFERROR(VLOOKUP(A6, Dataset!A:N, 14, FALSE), "")</f>
        <v>7.6</v>
      </c>
      <c r="D6" s="12">
        <f>IFERROR(VLOOKUP(A6, Dataset!A:R, 18, FALSE), "")</f>
        <v>4.2</v>
      </c>
      <c r="E6" s="12">
        <f>IFERROR(VLOOKUP(A6, Dataset!A:T, 20, FALSE), "")</f>
        <v>8.9</v>
      </c>
      <c r="F6" s="8">
        <f>IFERROR(VLOOKUP(A6, Dataset!A:V, 22, FALSE), "")</f>
        <v>4.2</v>
      </c>
    </row>
    <row r="7" spans="1:7" ht="14.4" x14ac:dyDescent="0.3">
      <c r="A7" s="7" t="s">
        <v>4</v>
      </c>
      <c r="B7" s="12">
        <f>IFERROR(VLOOKUP(A7, Dataset!A:G, 7, FALSE), "")</f>
        <v>2.7</v>
      </c>
      <c r="C7" s="12">
        <f>IFERROR(VLOOKUP(A7, Dataset!A:N, 14, FALSE), "")</f>
        <v>7.6</v>
      </c>
      <c r="D7" s="12">
        <f>IFERROR(VLOOKUP(A7, Dataset!A:R, 18, FALSE), "")</f>
        <v>4.2</v>
      </c>
      <c r="E7" s="12">
        <f>IFERROR(VLOOKUP(A7, Dataset!A:T, 20, FALSE), "")</f>
        <v>8.9</v>
      </c>
      <c r="F7" s="8">
        <f>IFERROR(VLOOKUP(A7, Dataset!A:V, 22, FALSE), "")</f>
        <v>4.2</v>
      </c>
    </row>
    <row r="8" spans="1:7" ht="14.4" x14ac:dyDescent="0.3">
      <c r="A8" s="7" t="s">
        <v>7</v>
      </c>
      <c r="B8" s="12">
        <f>IFERROR(VLOOKUP(A8, Dataset!A:G, 7, FALSE), "")</f>
        <v>3.6</v>
      </c>
      <c r="C8" s="12">
        <f>IFERROR(VLOOKUP(A8, Dataset!A:N, 14, FALSE), "")</f>
        <v>11.1</v>
      </c>
      <c r="D8" s="12">
        <f>IFERROR(VLOOKUP(A8, Dataset!A:R, 18, FALSE), "")</f>
        <v>5.8</v>
      </c>
      <c r="E8" s="12">
        <f>IFERROR(VLOOKUP(A8, Dataset!A:T, 20, FALSE), "")</f>
        <v>12.2</v>
      </c>
      <c r="F8" s="8">
        <f>IFERROR(VLOOKUP(A8, Dataset!A:V, 22, FALSE), "")</f>
        <v>5.8</v>
      </c>
    </row>
    <row r="9" spans="1:7" ht="14.4" x14ac:dyDescent="0.3">
      <c r="A9" s="7" t="s">
        <v>8</v>
      </c>
      <c r="B9" s="12">
        <f>IFERROR(VLOOKUP(A9, Dataset!A:G, 7, FALSE), "")</f>
        <v>4.9000000000000004</v>
      </c>
      <c r="C9" s="12">
        <f>IFERROR(VLOOKUP(A9, Dataset!A:N, 14, FALSE), "")</f>
        <v>13.3</v>
      </c>
      <c r="D9" s="12">
        <f>IFERROR(VLOOKUP(A9, Dataset!A:R, 18, FALSE), "")</f>
        <v>8.1</v>
      </c>
      <c r="E9" s="12">
        <f>IFERROR(VLOOKUP(A9, Dataset!A:T, 20, FALSE), "")</f>
        <v>17</v>
      </c>
      <c r="F9" s="8">
        <f>IFERROR(VLOOKUP(A9, Dataset!A:V, 22, FALSE), "")</f>
        <v>8.1</v>
      </c>
    </row>
    <row r="10" spans="1:7" ht="14.4" x14ac:dyDescent="0.3">
      <c r="A10" s="7" t="s">
        <v>11</v>
      </c>
      <c r="B10" s="12">
        <f>IFERROR(VLOOKUP(A10, Dataset!A:G, 7, FALSE), "")</f>
        <v>9.4</v>
      </c>
      <c r="C10" s="12">
        <f>IFERROR(VLOOKUP(A10, Dataset!A:N, 14, FALSE), "")</f>
        <v>28.3</v>
      </c>
      <c r="D10" s="12">
        <f>IFERROR(VLOOKUP(A10, Dataset!A:R, 18, FALSE), "")</f>
        <v>16.100000000000001</v>
      </c>
      <c r="E10" s="12">
        <f>IFERROR(VLOOKUP(A10, Dataset!A:T, 20, FALSE), "")</f>
        <v>32.799999999999997</v>
      </c>
      <c r="F10" s="8">
        <f>IFERROR(VLOOKUP(A10, Dataset!A:V, 22, FALSE), "")</f>
        <v>16.100000000000001</v>
      </c>
    </row>
    <row r="11" spans="1:7" ht="14.4" x14ac:dyDescent="0.3">
      <c r="A11" s="7" t="s">
        <v>12</v>
      </c>
      <c r="B11" s="12">
        <f>IFERROR(VLOOKUP(A11, Dataset!A:G, 7, FALSE), "")</f>
        <v>11.6</v>
      </c>
      <c r="C11" s="12">
        <f>IFERROR(VLOOKUP(A11, Dataset!A:N, 14, FALSE), "")</f>
        <v>35.200000000000003</v>
      </c>
      <c r="D11" s="12">
        <f>IFERROR(VLOOKUP(A11, Dataset!A:R, 18, FALSE), "")</f>
        <v>21.3</v>
      </c>
      <c r="E11" s="12">
        <f>IFERROR(VLOOKUP(A11, Dataset!A:T, 20, FALSE), "")</f>
        <v>43</v>
      </c>
      <c r="F11" s="8">
        <f>IFERROR(VLOOKUP(A11, Dataset!A:V, 22, FALSE), "")</f>
        <v>21.3</v>
      </c>
    </row>
    <row r="12" spans="1:7" ht="14.4" x14ac:dyDescent="0.3">
      <c r="A12" s="7" t="s">
        <v>14</v>
      </c>
      <c r="B12" s="12">
        <f>IFERROR(VLOOKUP(A12, Dataset!A:G, 7, FALSE), "")</f>
        <v>18.399999999999999</v>
      </c>
      <c r="C12" s="12">
        <f>IFERROR(VLOOKUP(A12, Dataset!A:N, 14, FALSE), "")</f>
        <v>55.6</v>
      </c>
      <c r="D12" s="12">
        <f>IFERROR(VLOOKUP(A12, Dataset!A:R, 18, FALSE), "")</f>
        <v>33.799999999999997</v>
      </c>
      <c r="E12" s="12">
        <f>IFERROR(VLOOKUP(A12, Dataset!A:T, 20, FALSE), "")</f>
        <v>67.900000000000006</v>
      </c>
      <c r="F12" s="8">
        <f>IFERROR(VLOOKUP(A12, Dataset!A:V, 22, FALSE), "")</f>
        <v>33.799999999999997</v>
      </c>
    </row>
    <row r="13" spans="1:7" ht="14.4" x14ac:dyDescent="0.3">
      <c r="A13" s="7" t="s">
        <v>15</v>
      </c>
      <c r="B13" s="12">
        <f>IFERROR(VLOOKUP(A13, Dataset!A:G, 7, FALSE), "")</f>
        <v>0</v>
      </c>
      <c r="C13" s="12">
        <f>IFERROR(VLOOKUP(A13, Dataset!A:N, 14, FALSE), "")</f>
        <v>0</v>
      </c>
      <c r="D13" s="12">
        <f>IFERROR(VLOOKUP(A13, Dataset!A:R, 18, FALSE), "")</f>
        <v>0</v>
      </c>
      <c r="E13" s="12">
        <f>IFERROR(VLOOKUP(A13, Dataset!A:T, 20, FALSE), "")</f>
        <v>0</v>
      </c>
      <c r="F13" s="8">
        <f>IFERROR(VLOOKUP(A13, Dataset!A:V, 22, FALSE), "")</f>
        <v>0</v>
      </c>
    </row>
    <row r="14" spans="1:7" ht="14.4" x14ac:dyDescent="0.3">
      <c r="A14" s="7" t="s">
        <v>16</v>
      </c>
      <c r="B14" s="12">
        <f>IFERROR(VLOOKUP(A14, Dataset!A:G, 7, FALSE), "")</f>
        <v>21.9</v>
      </c>
      <c r="C14" s="12">
        <f>IFERROR(VLOOKUP(A14, Dataset!A:N, 14, FALSE), "")</f>
        <v>61.5</v>
      </c>
      <c r="D14" s="12">
        <f>IFERROR(VLOOKUP(A14, Dataset!A:R, 18, FALSE), "")</f>
        <v>40.1</v>
      </c>
      <c r="E14" s="12">
        <f>IFERROR(VLOOKUP(A14, Dataset!A:T, 20, FALSE), "")</f>
        <v>76.599999999999994</v>
      </c>
      <c r="F14" s="8">
        <f>IFERROR(VLOOKUP(A14, Dataset!A:V, 22, FALSE), "")</f>
        <v>40.1</v>
      </c>
    </row>
    <row r="15" spans="1:7" ht="14.4" x14ac:dyDescent="0.3">
      <c r="A15" s="7" t="s">
        <v>18</v>
      </c>
      <c r="B15" s="12">
        <f>IFERROR(VLOOKUP(A15, Dataset!A:G, 7, FALSE), "")</f>
        <v>26.8</v>
      </c>
      <c r="C15" s="12">
        <f>IFERROR(VLOOKUP(A15, Dataset!A:N, 14, FALSE), "")</f>
        <v>79.599999999999994</v>
      </c>
      <c r="D15" s="12">
        <f>IFERROR(VLOOKUP(A15, Dataset!A:R, 18, FALSE), "")</f>
        <v>47.9</v>
      </c>
      <c r="E15" s="12">
        <f>IFERROR(VLOOKUP(A15, Dataset!A:T, 20, FALSE), "")</f>
        <v>96.8</v>
      </c>
      <c r="F15" s="8">
        <f>IFERROR(VLOOKUP(A15, Dataset!A:V, 22, FALSE), "")</f>
        <v>47.9</v>
      </c>
    </row>
    <row r="16" spans="1:7" ht="14.4" x14ac:dyDescent="0.3">
      <c r="A16" s="7" t="s">
        <v>20</v>
      </c>
      <c r="B16" s="12">
        <f>IFERROR(VLOOKUP(A16, Dataset!A:G, 7, FALSE), "")</f>
        <v>28.5</v>
      </c>
      <c r="C16" s="12">
        <f>IFERROR(VLOOKUP(A16, Dataset!A:N, 14, FALSE), "")</f>
        <v>85.4</v>
      </c>
      <c r="D16" s="12">
        <f>IFERROR(VLOOKUP(A16, Dataset!A:R, 18, FALSE), "")</f>
        <v>52.3</v>
      </c>
      <c r="E16" s="12">
        <f>IFERROR(VLOOKUP(A16, Dataset!A:T, 20, FALSE), "")</f>
        <v>106.1</v>
      </c>
      <c r="F16" s="8">
        <f>IFERROR(VLOOKUP(A16, Dataset!A:V, 22, FALSE), "")</f>
        <v>52.3</v>
      </c>
    </row>
    <row r="17" spans="1:6" ht="14.4" x14ac:dyDescent="0.3">
      <c r="A17" s="7" t="s">
        <v>22</v>
      </c>
      <c r="B17" s="12">
        <f>IFERROR(VLOOKUP(A17, Dataset!A:G, 7, FALSE), "")</f>
        <v>30.7</v>
      </c>
      <c r="C17" s="12">
        <f>IFERROR(VLOOKUP(A17, Dataset!A:N, 14, FALSE), "")</f>
        <v>92.1</v>
      </c>
      <c r="D17" s="12">
        <f>IFERROR(VLOOKUP(A17, Dataset!A:R, 18, FALSE), "")</f>
        <v>57</v>
      </c>
      <c r="E17" s="12">
        <f>IFERROR(VLOOKUP(A17, Dataset!A:T, 20, FALSE), "")</f>
        <v>115.1</v>
      </c>
      <c r="F17" s="8">
        <f>IFERROR(VLOOKUP(A17, Dataset!A:V, 22, FALSE), "")</f>
        <v>57</v>
      </c>
    </row>
    <row r="18" spans="1:6" ht="14.4" x14ac:dyDescent="0.3">
      <c r="A18" s="7" t="s">
        <v>23</v>
      </c>
      <c r="B18" s="12">
        <f>IFERROR(VLOOKUP(A18, Dataset!A:G, 7, FALSE), "")</f>
        <v>33.799999999999997</v>
      </c>
      <c r="C18" s="12">
        <f>IFERROR(VLOOKUP(A18, Dataset!A:N, 14, FALSE), "")</f>
        <v>101.3</v>
      </c>
      <c r="D18" s="12">
        <f>IFERROR(VLOOKUP(A18, Dataset!A:R, 18, FALSE), "")</f>
        <v>61.4</v>
      </c>
      <c r="E18" s="12">
        <f>IFERROR(VLOOKUP(A18, Dataset!A:T, 20, FALSE), "")</f>
        <v>124.4</v>
      </c>
      <c r="F18" s="8">
        <f>IFERROR(VLOOKUP(A18, Dataset!A:V, 22, FALSE), "")</f>
        <v>61.4</v>
      </c>
    </row>
    <row r="19" spans="1:6" ht="14.4" x14ac:dyDescent="0.3">
      <c r="A19" s="7" t="s">
        <v>24</v>
      </c>
      <c r="B19" s="12">
        <f>IFERROR(VLOOKUP(A19, Dataset!A:G, 7, FALSE), "")</f>
        <v>34.700000000000003</v>
      </c>
      <c r="C19" s="12">
        <f>IFERROR(VLOOKUP(A19, Dataset!A:N, 14, FALSE), "")</f>
        <v>106.1</v>
      </c>
      <c r="D19" s="12">
        <f>IFERROR(VLOOKUP(A19, Dataset!A:R, 18, FALSE), "")</f>
        <v>63.6</v>
      </c>
      <c r="E19" s="12">
        <f>IFERROR(VLOOKUP(A19, Dataset!A:T, 20, FALSE), "")</f>
        <v>128.6</v>
      </c>
      <c r="F19" s="8">
        <f>IFERROR(VLOOKUP(A19, Dataset!A:V, 22, FALSE), "")</f>
        <v>63.6</v>
      </c>
    </row>
    <row r="20" spans="1:6" ht="14.4" x14ac:dyDescent="0.3">
      <c r="A20" s="7" t="s">
        <v>28</v>
      </c>
      <c r="B20" s="12">
        <f>IFERROR(VLOOKUP(A20, Dataset!A:G, 7, FALSE), "")</f>
        <v>0</v>
      </c>
      <c r="C20" s="12">
        <f>IFERROR(VLOOKUP(A20, Dataset!A:N, 14, FALSE), "")</f>
        <v>0</v>
      </c>
      <c r="D20" s="12">
        <f>IFERROR(VLOOKUP(A20, Dataset!A:R, 18, FALSE), "")</f>
        <v>0</v>
      </c>
      <c r="E20" s="12">
        <f>IFERROR(VLOOKUP(A20, Dataset!A:T, 20, FALSE), "")</f>
        <v>0</v>
      </c>
      <c r="F20" s="8">
        <f>IFERROR(VLOOKUP(A20, Dataset!A:V, 22, FALSE), "")</f>
        <v>0</v>
      </c>
    </row>
    <row r="21" spans="1:6" ht="14.4" x14ac:dyDescent="0.3">
      <c r="A21" s="7" t="s">
        <v>57</v>
      </c>
      <c r="B21" s="12">
        <f>IFERROR(VLOOKUP(A21, Dataset!A:G, 7, FALSE), "")</f>
        <v>41.3</v>
      </c>
      <c r="C21" s="12">
        <f>IFERROR(VLOOKUP(A21, Dataset!A:N, 14, FALSE), "")</f>
        <v>124.4</v>
      </c>
      <c r="D21" s="12">
        <f>IFERROR(VLOOKUP(A21, Dataset!A:R, 18, FALSE), "")</f>
        <v>75</v>
      </c>
      <c r="E21" s="12">
        <f>IFERROR(VLOOKUP(A21, Dataset!A:T, 20, FALSE), "")</f>
        <v>151.5</v>
      </c>
      <c r="F21" s="8">
        <f>IFERROR(VLOOKUP(A21, Dataset!A:V, 22, FALSE), "")</f>
        <v>75</v>
      </c>
    </row>
    <row r="22" spans="1:6" ht="14.4" x14ac:dyDescent="0.3">
      <c r="A22" s="7" t="s">
        <v>58</v>
      </c>
      <c r="B22" s="12">
        <f>IFERROR(VLOOKUP(A22, Dataset!A:G, 7, FALSE), "")</f>
        <v>-1</v>
      </c>
      <c r="C22" s="12">
        <f>IFERROR(VLOOKUP(A22, Dataset!A:N, 14, FALSE), "")</f>
        <v>-1</v>
      </c>
      <c r="D22" s="12">
        <f>IFERROR(VLOOKUP(A22, Dataset!A:R, 18, FALSE), "")</f>
        <v>-1</v>
      </c>
      <c r="E22" s="12">
        <f>IFERROR(VLOOKUP(A22, Dataset!A:T, 20, FALSE), "")</f>
        <v>-1</v>
      </c>
      <c r="F22" s="8">
        <f>IFERROR(VLOOKUP(A22, Dataset!A:V, 22, FALSE), "")</f>
        <v>-1</v>
      </c>
    </row>
    <row r="23" spans="1:6" ht="14.4" x14ac:dyDescent="0.3">
      <c r="A23" s="7" t="s">
        <v>31</v>
      </c>
      <c r="B23" s="12">
        <f>IFERROR(VLOOKUP(A23, Dataset!A:G, 7, FALSE), "")</f>
        <v>45</v>
      </c>
      <c r="C23" s="12">
        <f>IFERROR(VLOOKUP(A23, Dataset!A:N, 14, FALSE), "")</f>
        <v>133.4</v>
      </c>
      <c r="D23" s="12">
        <f>IFERROR(VLOOKUP(A23, Dataset!A:R, 18, FALSE), "")</f>
        <v>79.400000000000006</v>
      </c>
      <c r="E23" s="12">
        <f>IFERROR(VLOOKUP(A23, Dataset!A:T, 20, FALSE), "")</f>
        <v>160.9</v>
      </c>
      <c r="F23" s="8">
        <f>IFERROR(VLOOKUP(A23, Dataset!A:V, 22, FALSE), "")</f>
        <v>79.400000000000006</v>
      </c>
    </row>
    <row r="24" spans="1:6" ht="14.4" x14ac:dyDescent="0.3">
      <c r="A24" s="7" t="s">
        <v>32</v>
      </c>
      <c r="B24" s="12">
        <f>IFERROR(VLOOKUP(A24, Dataset!A:G, 7, FALSE), "")</f>
        <v>-1</v>
      </c>
      <c r="C24" s="12">
        <f>IFERROR(VLOOKUP(A24, Dataset!A:N, 14, FALSE), "")</f>
        <v>-1</v>
      </c>
      <c r="D24" s="12">
        <f>IFERROR(VLOOKUP(A24, Dataset!A:R, 18, FALSE), "")</f>
        <v>-1</v>
      </c>
      <c r="E24" s="12">
        <f>IFERROR(VLOOKUP(A24, Dataset!A:T, 20, FALSE), "")</f>
        <v>-1</v>
      </c>
      <c r="F24" s="8">
        <f>IFERROR(VLOOKUP(A24, Dataset!A:V, 22, FALSE), "")</f>
        <v>-1</v>
      </c>
    </row>
    <row r="25" spans="1:6" ht="14.4" x14ac:dyDescent="0.3">
      <c r="A25" s="7" t="s">
        <v>34</v>
      </c>
      <c r="B25" s="12">
        <f>IFERROR(VLOOKUP(A25, Dataset!A:G, 7, FALSE), "")</f>
        <v>43.3</v>
      </c>
      <c r="C25" s="12">
        <f>IFERROR(VLOOKUP(A25, Dataset!A:N, 14, FALSE), "")</f>
        <v>128.6</v>
      </c>
      <c r="D25" s="12">
        <f>IFERROR(VLOOKUP(A25, Dataset!A:R, 18, FALSE), "")</f>
        <v>79.400000000000006</v>
      </c>
      <c r="E25" s="12">
        <f>IFERROR(VLOOKUP(A25, Dataset!A:T, 20, FALSE), "")</f>
        <v>160.9</v>
      </c>
      <c r="F25" s="8">
        <f>IFERROR(VLOOKUP(A25, Dataset!A:V, 22, FALSE), "")</f>
        <v>79.400000000000006</v>
      </c>
    </row>
    <row r="26" spans="1:6" ht="14.4" x14ac:dyDescent="0.3">
      <c r="A26" s="7" t="s">
        <v>37</v>
      </c>
      <c r="B26" s="12">
        <f>IFERROR(VLOOKUP(A26, Dataset!A:G, 7, FALSE), "")</f>
        <v>49.1</v>
      </c>
      <c r="C26" s="12">
        <f>IFERROR(VLOOKUP(A26, Dataset!A:N, 14, FALSE), "")</f>
        <v>146.80000000000001</v>
      </c>
      <c r="D26" s="12">
        <f>IFERROR(VLOOKUP(A26, Dataset!A:R, 18, FALSE), "")</f>
        <v>90.9</v>
      </c>
      <c r="E26" s="12">
        <f>IFERROR(VLOOKUP(A26, Dataset!A:T, 20, FALSE), "")</f>
        <v>183.5</v>
      </c>
      <c r="F26" s="8">
        <f>IFERROR(VLOOKUP(A26, Dataset!A:V, 22, FALSE), "")</f>
        <v>90.9</v>
      </c>
    </row>
    <row r="27" spans="1:6" ht="14.4" x14ac:dyDescent="0.3">
      <c r="A27" s="7" t="s">
        <v>39</v>
      </c>
      <c r="B27" s="12">
        <f>IFERROR(VLOOKUP(A27, Dataset!A:G, 7, FALSE), "")</f>
        <v>51.8</v>
      </c>
      <c r="C27" s="12">
        <f>IFERROR(VLOOKUP(A27, Dataset!A:N, 14, FALSE), "")</f>
        <v>156.4</v>
      </c>
      <c r="D27" s="12">
        <f>IFERROR(VLOOKUP(A27, Dataset!A:R, 18, FALSE), "")</f>
        <v>93.1</v>
      </c>
      <c r="E27" s="12">
        <f>IFERROR(VLOOKUP(A27, Dataset!A:T, 20, FALSE), "")</f>
        <v>188.1</v>
      </c>
      <c r="F27" s="8">
        <f>IFERROR(VLOOKUP(A27, Dataset!A:V, 22, FALSE), "")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C19" sqref="C1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39" t="s">
        <v>178</v>
      </c>
    </row>
    <row r="6" spans="1:10" ht="18" x14ac:dyDescent="0.35">
      <c r="A6" s="42" t="s">
        <v>152</v>
      </c>
      <c r="B6" s="46" t="s">
        <v>191</v>
      </c>
    </row>
    <row r="7" spans="1:10" ht="18" x14ac:dyDescent="0.35">
      <c r="A7" s="42"/>
      <c r="B7" s="46" t="s">
        <v>192</v>
      </c>
    </row>
    <row r="8" spans="1:10" ht="15" x14ac:dyDescent="0.35">
      <c r="B8" s="46" t="s">
        <v>193</v>
      </c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 t="str">
        <f>LEFT(A16, FIND("-", A16) - 1)</f>
        <v>20000</v>
      </c>
      <c r="C16" s="12" t="str">
        <f>MID(A16, FIND("-", A16) + 1, FIND("-", A16, FIND("-", A16) + 1) - FIND("-", A16) - 1)</f>
        <v>Monday</v>
      </c>
      <c r="D16" s="12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2" t="str">
        <f>RIGHT(A16, LEN(A16) - FIND("~", SUBSTITUTE(A16, "-", "~", 4)))</f>
        <v>24</v>
      </c>
    </row>
    <row r="17" spans="1:6" x14ac:dyDescent="0.3">
      <c r="A17" s="7" t="s">
        <v>121</v>
      </c>
      <c r="B17" s="12" t="str">
        <f t="shared" ref="B17:B54" si="0">LEFT(A17, FIND("-", A17) - 1)</f>
        <v>20002</v>
      </c>
      <c r="C17" s="12" t="str">
        <f t="shared" ref="C17:C54" si="1">MID(A17, FIND("-", A17) + 1, FIND("-", A17, FIND("-", A17) + 1) - FIND("-", A17) - 1)</f>
        <v>Monday</v>
      </c>
      <c r="D17" s="12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2" t="str">
        <f t="shared" ref="F17:F54" si="4">RIGHT(A17, LEN(A17) - FIND("~", SUBSTITUTE(A17, "-", "~", 4)))</f>
        <v>24</v>
      </c>
    </row>
    <row r="18" spans="1:6" x14ac:dyDescent="0.3">
      <c r="A18" s="7" t="s">
        <v>122</v>
      </c>
      <c r="B18" s="12" t="str">
        <f t="shared" si="0"/>
        <v>20004</v>
      </c>
      <c r="C18" s="12" t="str">
        <f t="shared" si="1"/>
        <v>Monday</v>
      </c>
      <c r="D18" s="12" t="str">
        <f t="shared" si="2"/>
        <v>0</v>
      </c>
      <c r="E18" s="1" t="str">
        <f t="shared" si="3"/>
        <v>Sunday</v>
      </c>
      <c r="F18" s="12" t="str">
        <f t="shared" si="4"/>
        <v>24</v>
      </c>
    </row>
    <row r="19" spans="1:6" x14ac:dyDescent="0.3">
      <c r="A19" s="7" t="s">
        <v>123</v>
      </c>
      <c r="B19" s="12" t="str">
        <f t="shared" si="0"/>
        <v>20006</v>
      </c>
      <c r="C19" s="12" t="str">
        <f t="shared" si="1"/>
        <v>Monday</v>
      </c>
      <c r="D19" s="12" t="str">
        <f t="shared" si="2"/>
        <v>0</v>
      </c>
      <c r="E19" s="1" t="str">
        <f t="shared" si="3"/>
        <v>Sunday</v>
      </c>
      <c r="F19" s="12" t="str">
        <f t="shared" si="4"/>
        <v>24</v>
      </c>
    </row>
    <row r="20" spans="1:6" x14ac:dyDescent="0.3">
      <c r="A20" s="7" t="s">
        <v>124</v>
      </c>
      <c r="B20" s="12" t="str">
        <f t="shared" si="0"/>
        <v>20008</v>
      </c>
      <c r="C20" s="12" t="str">
        <f t="shared" si="1"/>
        <v>Monday</v>
      </c>
      <c r="D20" s="12" t="str">
        <f t="shared" si="2"/>
        <v>0</v>
      </c>
      <c r="E20" s="1" t="str">
        <f t="shared" si="3"/>
        <v>Sunday</v>
      </c>
      <c r="F20" s="12" t="str">
        <f t="shared" si="4"/>
        <v>24</v>
      </c>
    </row>
    <row r="21" spans="1:6" x14ac:dyDescent="0.3">
      <c r="A21" s="7" t="s">
        <v>125</v>
      </c>
      <c r="B21" s="12" t="str">
        <f t="shared" si="0"/>
        <v>20010</v>
      </c>
      <c r="C21" s="12" t="str">
        <f t="shared" si="1"/>
        <v>Monday</v>
      </c>
      <c r="D21" s="12" t="str">
        <f t="shared" si="2"/>
        <v>0</v>
      </c>
      <c r="E21" s="1" t="str">
        <f t="shared" si="3"/>
        <v>Sunday</v>
      </c>
      <c r="F21" s="12" t="str">
        <f t="shared" si="4"/>
        <v>24</v>
      </c>
    </row>
    <row r="22" spans="1:6" x14ac:dyDescent="0.3">
      <c r="A22" s="7" t="s">
        <v>126</v>
      </c>
      <c r="B22" s="12" t="str">
        <f t="shared" si="0"/>
        <v>20012</v>
      </c>
      <c r="C22" s="12" t="str">
        <f t="shared" si="1"/>
        <v>Monday</v>
      </c>
      <c r="D22" s="12" t="str">
        <f t="shared" si="2"/>
        <v>0</v>
      </c>
      <c r="E22" s="1" t="str">
        <f t="shared" si="3"/>
        <v>Sunday</v>
      </c>
      <c r="F22" s="12" t="str">
        <f t="shared" si="4"/>
        <v>24</v>
      </c>
    </row>
    <row r="23" spans="1:6" x14ac:dyDescent="0.3">
      <c r="A23" s="7" t="s">
        <v>127</v>
      </c>
      <c r="B23" s="12" t="str">
        <f t="shared" si="0"/>
        <v>20014</v>
      </c>
      <c r="C23" s="12" t="str">
        <f t="shared" si="1"/>
        <v>Monday</v>
      </c>
      <c r="D23" s="12" t="str">
        <f t="shared" si="2"/>
        <v>0</v>
      </c>
      <c r="E23" s="1" t="str">
        <f t="shared" si="3"/>
        <v>Sunday</v>
      </c>
      <c r="F23" s="12" t="str">
        <f t="shared" si="4"/>
        <v>24</v>
      </c>
    </row>
    <row r="24" spans="1:6" x14ac:dyDescent="0.3">
      <c r="A24" s="7" t="s">
        <v>128</v>
      </c>
      <c r="B24" s="12" t="str">
        <f t="shared" si="0"/>
        <v>20016</v>
      </c>
      <c r="C24" s="12" t="str">
        <f t="shared" si="1"/>
        <v>Monday</v>
      </c>
      <c r="D24" s="12" t="str">
        <f t="shared" si="2"/>
        <v>0</v>
      </c>
      <c r="E24" s="1" t="str">
        <f t="shared" si="3"/>
        <v>Sunday</v>
      </c>
      <c r="F24" s="12" t="str">
        <f t="shared" si="4"/>
        <v>24</v>
      </c>
    </row>
    <row r="25" spans="1:6" x14ac:dyDescent="0.3">
      <c r="A25" s="7" t="s">
        <v>129</v>
      </c>
      <c r="B25" s="12" t="str">
        <f t="shared" si="0"/>
        <v>20018</v>
      </c>
      <c r="C25" s="12" t="str">
        <f t="shared" si="1"/>
        <v>Monday</v>
      </c>
      <c r="D25" s="12" t="str">
        <f t="shared" si="2"/>
        <v>0</v>
      </c>
      <c r="E25" s="1" t="str">
        <f t="shared" si="3"/>
        <v>Sunday</v>
      </c>
      <c r="F25" s="12" t="str">
        <f t="shared" si="4"/>
        <v>24</v>
      </c>
    </row>
    <row r="26" spans="1:6" x14ac:dyDescent="0.3">
      <c r="A26" s="7" t="s">
        <v>130</v>
      </c>
      <c r="B26" s="12" t="str">
        <f t="shared" si="0"/>
        <v>20020</v>
      </c>
      <c r="C26" s="12" t="str">
        <f t="shared" si="1"/>
        <v>Monday</v>
      </c>
      <c r="D26" s="12" t="str">
        <f t="shared" si="2"/>
        <v>0</v>
      </c>
      <c r="E26" s="1" t="str">
        <f t="shared" si="3"/>
        <v>Sunday</v>
      </c>
      <c r="F26" s="12" t="str">
        <f t="shared" si="4"/>
        <v>24</v>
      </c>
    </row>
    <row r="27" spans="1:6" x14ac:dyDescent="0.3">
      <c r="A27" s="7" t="s">
        <v>131</v>
      </c>
      <c r="B27" s="12" t="str">
        <f t="shared" si="0"/>
        <v>20022</v>
      </c>
      <c r="C27" s="12" t="str">
        <f t="shared" si="1"/>
        <v>Monday</v>
      </c>
      <c r="D27" s="12" t="str">
        <f t="shared" si="2"/>
        <v>0</v>
      </c>
      <c r="E27" s="1" t="str">
        <f t="shared" si="3"/>
        <v>Sunday</v>
      </c>
      <c r="F27" s="12" t="str">
        <f t="shared" si="4"/>
        <v>24</v>
      </c>
    </row>
    <row r="28" spans="1:6" x14ac:dyDescent="0.3">
      <c r="A28" s="7" t="s">
        <v>132</v>
      </c>
      <c r="B28" s="12" t="str">
        <f t="shared" si="0"/>
        <v>20024</v>
      </c>
      <c r="C28" s="12" t="str">
        <f t="shared" si="1"/>
        <v>Monday</v>
      </c>
      <c r="D28" s="12" t="str">
        <f t="shared" si="2"/>
        <v>0</v>
      </c>
      <c r="E28" s="1" t="str">
        <f t="shared" si="3"/>
        <v>Sunday</v>
      </c>
      <c r="F28" s="12" t="str">
        <f t="shared" si="4"/>
        <v>24</v>
      </c>
    </row>
    <row r="29" spans="1:6" x14ac:dyDescent="0.3">
      <c r="A29" s="7" t="s">
        <v>133</v>
      </c>
      <c r="B29" s="12" t="str">
        <f t="shared" si="0"/>
        <v>20026</v>
      </c>
      <c r="C29" s="12" t="str">
        <f t="shared" si="1"/>
        <v>Monday</v>
      </c>
      <c r="D29" s="12" t="str">
        <f t="shared" si="2"/>
        <v>0</v>
      </c>
      <c r="E29" s="1" t="str">
        <f t="shared" si="3"/>
        <v>Sunday</v>
      </c>
      <c r="F29" s="12" t="str">
        <f t="shared" si="4"/>
        <v>24</v>
      </c>
    </row>
    <row r="30" spans="1:6" x14ac:dyDescent="0.3">
      <c r="A30" s="7" t="s">
        <v>134</v>
      </c>
      <c r="B30" s="12" t="str">
        <f t="shared" si="0"/>
        <v>20028</v>
      </c>
      <c r="C30" s="12" t="str">
        <f t="shared" si="1"/>
        <v>Monday</v>
      </c>
      <c r="D30" s="12" t="str">
        <f t="shared" si="2"/>
        <v>0</v>
      </c>
      <c r="E30" s="1" t="str">
        <f t="shared" si="3"/>
        <v>Sunday</v>
      </c>
      <c r="F30" s="12" t="str">
        <f t="shared" si="4"/>
        <v>24</v>
      </c>
    </row>
    <row r="31" spans="1:6" x14ac:dyDescent="0.3">
      <c r="A31" s="7" t="s">
        <v>135</v>
      </c>
      <c r="B31" s="12" t="str">
        <f t="shared" si="0"/>
        <v>20030</v>
      </c>
      <c r="C31" s="12" t="str">
        <f t="shared" si="1"/>
        <v>Monday</v>
      </c>
      <c r="D31" s="12" t="str">
        <f t="shared" si="2"/>
        <v>0</v>
      </c>
      <c r="E31" s="1" t="str">
        <f t="shared" si="3"/>
        <v>Sunday</v>
      </c>
      <c r="F31" s="12" t="str">
        <f t="shared" si="4"/>
        <v>24</v>
      </c>
    </row>
    <row r="32" spans="1:6" x14ac:dyDescent="0.3">
      <c r="A32" s="7" t="s">
        <v>136</v>
      </c>
      <c r="B32" s="12" t="str">
        <f t="shared" si="0"/>
        <v>20032</v>
      </c>
      <c r="C32" s="12" t="str">
        <f t="shared" si="1"/>
        <v>Monday</v>
      </c>
      <c r="D32" s="12" t="str">
        <f t="shared" si="2"/>
        <v>0</v>
      </c>
      <c r="E32" s="1" t="str">
        <f t="shared" si="3"/>
        <v>Sunday</v>
      </c>
      <c r="F32" s="12" t="str">
        <f t="shared" si="4"/>
        <v>24</v>
      </c>
    </row>
    <row r="33" spans="1:6" x14ac:dyDescent="0.3">
      <c r="A33" s="7" t="s">
        <v>137</v>
      </c>
      <c r="B33" s="12" t="str">
        <f t="shared" si="0"/>
        <v>20034</v>
      </c>
      <c r="C33" s="12" t="str">
        <f t="shared" si="1"/>
        <v>Monday</v>
      </c>
      <c r="D33" s="12" t="str">
        <f t="shared" si="2"/>
        <v>0</v>
      </c>
      <c r="E33" s="1" t="str">
        <f t="shared" si="3"/>
        <v>Sunday</v>
      </c>
      <c r="F33" s="12" t="str">
        <f t="shared" si="4"/>
        <v>24</v>
      </c>
    </row>
    <row r="34" spans="1:6" x14ac:dyDescent="0.3">
      <c r="A34" s="7" t="s">
        <v>138</v>
      </c>
      <c r="B34" s="12" t="str">
        <f t="shared" si="0"/>
        <v>20036</v>
      </c>
      <c r="C34" s="12" t="str">
        <f t="shared" si="1"/>
        <v>Monday</v>
      </c>
      <c r="D34" s="12" t="str">
        <f t="shared" si="2"/>
        <v>0</v>
      </c>
      <c r="E34" s="1" t="str">
        <f t="shared" si="3"/>
        <v>Sunday</v>
      </c>
      <c r="F34" s="12" t="str">
        <f t="shared" si="4"/>
        <v>24</v>
      </c>
    </row>
    <row r="35" spans="1:6" x14ac:dyDescent="0.3">
      <c r="A35" s="7" t="s">
        <v>139</v>
      </c>
      <c r="B35" s="12" t="str">
        <f t="shared" si="0"/>
        <v>20038</v>
      </c>
      <c r="C35" s="12" t="str">
        <f t="shared" si="1"/>
        <v>Monday</v>
      </c>
      <c r="D35" s="12" t="str">
        <f t="shared" si="2"/>
        <v>0</v>
      </c>
      <c r="E35" s="1" t="str">
        <f t="shared" si="3"/>
        <v>Sunday</v>
      </c>
      <c r="F35" s="12" t="str">
        <f t="shared" si="4"/>
        <v>24</v>
      </c>
    </row>
    <row r="36" spans="1:6" x14ac:dyDescent="0.3">
      <c r="A36" s="7" t="s">
        <v>140</v>
      </c>
      <c r="B36" s="12" t="str">
        <f t="shared" si="0"/>
        <v>20040</v>
      </c>
      <c r="C36" s="12" t="str">
        <f t="shared" si="1"/>
        <v>Monday</v>
      </c>
      <c r="D36" s="12" t="str">
        <f t="shared" si="2"/>
        <v>0</v>
      </c>
      <c r="E36" s="1" t="str">
        <f t="shared" si="3"/>
        <v>Sunday</v>
      </c>
      <c r="F36" s="12" t="str">
        <f t="shared" si="4"/>
        <v>24</v>
      </c>
    </row>
    <row r="37" spans="1:6" x14ac:dyDescent="0.3">
      <c r="A37" s="7" t="s">
        <v>141</v>
      </c>
      <c r="B37" s="12" t="str">
        <f t="shared" si="0"/>
        <v>20042</v>
      </c>
      <c r="C37" s="12" t="str">
        <f t="shared" si="1"/>
        <v>Monday</v>
      </c>
      <c r="D37" s="12" t="str">
        <f t="shared" si="2"/>
        <v>0</v>
      </c>
      <c r="E37" s="1" t="str">
        <f t="shared" si="3"/>
        <v>Sunday</v>
      </c>
      <c r="F37" s="12" t="str">
        <f t="shared" si="4"/>
        <v>24</v>
      </c>
    </row>
    <row r="38" spans="1:6" x14ac:dyDescent="0.3">
      <c r="A38" s="7" t="s">
        <v>142</v>
      </c>
      <c r="B38" s="12" t="str">
        <f t="shared" si="0"/>
        <v>20044</v>
      </c>
      <c r="C38" s="12" t="str">
        <f t="shared" si="1"/>
        <v>Monday</v>
      </c>
      <c r="D38" s="12" t="str">
        <f t="shared" si="2"/>
        <v>0</v>
      </c>
      <c r="E38" s="1" t="str">
        <f t="shared" si="3"/>
        <v>Sunday</v>
      </c>
      <c r="F38" s="12" t="str">
        <f t="shared" si="4"/>
        <v>24</v>
      </c>
    </row>
    <row r="39" spans="1:6" x14ac:dyDescent="0.3">
      <c r="A39" s="7" t="s">
        <v>143</v>
      </c>
      <c r="B39" s="12" t="str">
        <f t="shared" si="0"/>
        <v>20046</v>
      </c>
      <c r="C39" s="12" t="str">
        <f t="shared" si="1"/>
        <v>Monday</v>
      </c>
      <c r="D39" s="12" t="str">
        <f t="shared" si="2"/>
        <v>0</v>
      </c>
      <c r="E39" s="1" t="str">
        <f t="shared" si="3"/>
        <v>Sunday</v>
      </c>
      <c r="F39" s="12" t="str">
        <f t="shared" si="4"/>
        <v>24</v>
      </c>
    </row>
    <row r="40" spans="1:6" x14ac:dyDescent="0.3">
      <c r="A40" s="7" t="s">
        <v>144</v>
      </c>
      <c r="B40" s="12" t="str">
        <f t="shared" si="0"/>
        <v>20048</v>
      </c>
      <c r="C40" s="12" t="str">
        <f t="shared" si="1"/>
        <v>Monday</v>
      </c>
      <c r="D40" s="12" t="str">
        <f t="shared" si="2"/>
        <v>0</v>
      </c>
      <c r="E40" s="1" t="str">
        <f t="shared" si="3"/>
        <v>Sunday</v>
      </c>
      <c r="F40" s="12" t="str">
        <f t="shared" si="4"/>
        <v>24</v>
      </c>
    </row>
    <row r="41" spans="1:6" x14ac:dyDescent="0.3">
      <c r="A41" s="7" t="s">
        <v>145</v>
      </c>
      <c r="B41" s="12" t="str">
        <f t="shared" si="0"/>
        <v>20050</v>
      </c>
      <c r="C41" s="12" t="str">
        <f t="shared" si="1"/>
        <v>Monday</v>
      </c>
      <c r="D41" s="12" t="str">
        <f t="shared" si="2"/>
        <v>0</v>
      </c>
      <c r="E41" s="1" t="str">
        <f t="shared" si="3"/>
        <v>Sunday</v>
      </c>
      <c r="F41" s="12" t="str">
        <f t="shared" si="4"/>
        <v>24</v>
      </c>
    </row>
    <row r="42" spans="1:6" x14ac:dyDescent="0.3">
      <c r="A42" s="7" t="s">
        <v>146</v>
      </c>
      <c r="B42" s="12" t="str">
        <f t="shared" si="0"/>
        <v>20052</v>
      </c>
      <c r="C42" s="12" t="str">
        <f t="shared" si="1"/>
        <v>Monday</v>
      </c>
      <c r="D42" s="12" t="str">
        <f t="shared" si="2"/>
        <v>0</v>
      </c>
      <c r="E42" s="1" t="str">
        <f t="shared" si="3"/>
        <v>Sunday</v>
      </c>
      <c r="F42" s="12" t="str">
        <f t="shared" si="4"/>
        <v>24</v>
      </c>
    </row>
    <row r="43" spans="1:6" x14ac:dyDescent="0.3">
      <c r="A43" s="7" t="s">
        <v>147</v>
      </c>
      <c r="B43" s="12" t="str">
        <f t="shared" si="0"/>
        <v>20054</v>
      </c>
      <c r="C43" s="12" t="str">
        <f t="shared" si="1"/>
        <v>Monday</v>
      </c>
      <c r="D43" s="12" t="str">
        <f t="shared" si="2"/>
        <v>0</v>
      </c>
      <c r="E43" s="1" t="str">
        <f t="shared" si="3"/>
        <v>Sunday</v>
      </c>
      <c r="F43" s="12" t="str">
        <f t="shared" si="4"/>
        <v>24</v>
      </c>
    </row>
    <row r="44" spans="1:6" x14ac:dyDescent="0.3">
      <c r="A44" s="7" t="s">
        <v>148</v>
      </c>
      <c r="B44" s="12" t="str">
        <f t="shared" si="0"/>
        <v>20058</v>
      </c>
      <c r="C44" s="12" t="str">
        <f t="shared" si="1"/>
        <v>Monday</v>
      </c>
      <c r="D44" s="12" t="str">
        <f t="shared" si="2"/>
        <v>0</v>
      </c>
      <c r="E44" s="1" t="str">
        <f t="shared" si="3"/>
        <v>Sunday</v>
      </c>
      <c r="F44" s="12" t="str">
        <f t="shared" si="4"/>
        <v>24</v>
      </c>
    </row>
    <row r="45" spans="1:6" x14ac:dyDescent="0.3">
      <c r="A45" s="7" t="s">
        <v>149</v>
      </c>
      <c r="B45" s="12" t="str">
        <f t="shared" si="0"/>
        <v>20060</v>
      </c>
      <c r="C45" s="12" t="str">
        <f t="shared" si="1"/>
        <v>Monday</v>
      </c>
      <c r="D45" s="12" t="str">
        <f t="shared" si="2"/>
        <v>0</v>
      </c>
      <c r="E45" s="1" t="str">
        <f t="shared" si="3"/>
        <v>Sunday</v>
      </c>
      <c r="F45" s="12" t="str">
        <f t="shared" si="4"/>
        <v>24</v>
      </c>
    </row>
    <row r="46" spans="1:6" x14ac:dyDescent="0.3">
      <c r="A46" s="7" t="s">
        <v>111</v>
      </c>
      <c r="B46" s="12" t="str">
        <f t="shared" si="0"/>
        <v>21000</v>
      </c>
      <c r="C46" s="12" t="str">
        <f t="shared" si="1"/>
        <v>Monday</v>
      </c>
      <c r="D46" s="12" t="str">
        <f t="shared" si="2"/>
        <v>0</v>
      </c>
      <c r="E46" s="1" t="str">
        <f t="shared" si="3"/>
        <v>Sunday</v>
      </c>
      <c r="F46" s="12" t="str">
        <f t="shared" si="4"/>
        <v>24</v>
      </c>
    </row>
    <row r="47" spans="1:6" x14ac:dyDescent="0.3">
      <c r="A47" s="7" t="s">
        <v>112</v>
      </c>
      <c r="B47" s="12" t="str">
        <f t="shared" si="0"/>
        <v>21002</v>
      </c>
      <c r="C47" s="12" t="str">
        <f t="shared" si="1"/>
        <v>Monday</v>
      </c>
      <c r="D47" s="12" t="str">
        <f t="shared" si="2"/>
        <v>0</v>
      </c>
      <c r="E47" s="1" t="str">
        <f t="shared" si="3"/>
        <v>Sunday</v>
      </c>
      <c r="F47" s="12" t="str">
        <f t="shared" si="4"/>
        <v>24</v>
      </c>
    </row>
    <row r="48" spans="1:6" x14ac:dyDescent="0.3">
      <c r="A48" s="7" t="s">
        <v>113</v>
      </c>
      <c r="B48" s="12" t="str">
        <f t="shared" si="0"/>
        <v>21004</v>
      </c>
      <c r="C48" s="12" t="str">
        <f t="shared" si="1"/>
        <v>Monday</v>
      </c>
      <c r="D48" s="12" t="str">
        <f t="shared" si="2"/>
        <v>0</v>
      </c>
      <c r="E48" s="1" t="str">
        <f t="shared" si="3"/>
        <v>Sunday</v>
      </c>
      <c r="F48" s="12" t="str">
        <f t="shared" si="4"/>
        <v>24</v>
      </c>
    </row>
    <row r="49" spans="1:6" x14ac:dyDescent="0.3">
      <c r="A49" s="7" t="s">
        <v>114</v>
      </c>
      <c r="B49" s="12" t="str">
        <f t="shared" si="0"/>
        <v>21006</v>
      </c>
      <c r="C49" s="12" t="str">
        <f t="shared" si="1"/>
        <v>Monday</v>
      </c>
      <c r="D49" s="12" t="str">
        <f t="shared" si="2"/>
        <v>0</v>
      </c>
      <c r="E49" s="1" t="str">
        <f t="shared" si="3"/>
        <v>Sunday</v>
      </c>
      <c r="F49" s="12" t="str">
        <f t="shared" si="4"/>
        <v>24</v>
      </c>
    </row>
    <row r="50" spans="1:6" x14ac:dyDescent="0.3">
      <c r="A50" s="7" t="s">
        <v>115</v>
      </c>
      <c r="B50" s="12" t="str">
        <f t="shared" si="0"/>
        <v>21008</v>
      </c>
      <c r="C50" s="12" t="str">
        <f t="shared" si="1"/>
        <v>Monday</v>
      </c>
      <c r="D50" s="12" t="str">
        <f t="shared" si="2"/>
        <v>0</v>
      </c>
      <c r="E50" s="1" t="str">
        <f t="shared" si="3"/>
        <v>Sunday</v>
      </c>
      <c r="F50" s="12" t="str">
        <f t="shared" si="4"/>
        <v>24</v>
      </c>
    </row>
    <row r="51" spans="1:6" x14ac:dyDescent="0.3">
      <c r="A51" s="7" t="s">
        <v>116</v>
      </c>
      <c r="B51" s="12" t="str">
        <f t="shared" si="0"/>
        <v>21010</v>
      </c>
      <c r="C51" s="12" t="str">
        <f t="shared" si="1"/>
        <v>Monday</v>
      </c>
      <c r="D51" s="12" t="str">
        <f t="shared" si="2"/>
        <v>0</v>
      </c>
      <c r="E51" s="1" t="str">
        <f t="shared" si="3"/>
        <v>Sunday</v>
      </c>
      <c r="F51" s="12" t="str">
        <f t="shared" si="4"/>
        <v>24</v>
      </c>
    </row>
    <row r="52" spans="1:6" x14ac:dyDescent="0.3">
      <c r="A52" s="7" t="s">
        <v>117</v>
      </c>
      <c r="B52" s="12" t="str">
        <f t="shared" si="0"/>
        <v>21012</v>
      </c>
      <c r="C52" s="12" t="str">
        <f t="shared" si="1"/>
        <v>Monday</v>
      </c>
      <c r="D52" s="12" t="str">
        <f t="shared" si="2"/>
        <v>0</v>
      </c>
      <c r="E52" s="1" t="str">
        <f t="shared" si="3"/>
        <v>Sunday</v>
      </c>
      <c r="F52" s="12" t="str">
        <f t="shared" si="4"/>
        <v>24</v>
      </c>
    </row>
    <row r="53" spans="1:6" x14ac:dyDescent="0.3">
      <c r="A53" s="7" t="s">
        <v>118</v>
      </c>
      <c r="B53" s="12" t="str">
        <f t="shared" si="0"/>
        <v>21014</v>
      </c>
      <c r="C53" s="12" t="str">
        <f t="shared" si="1"/>
        <v>Monday</v>
      </c>
      <c r="D53" s="12" t="str">
        <f t="shared" si="2"/>
        <v>0</v>
      </c>
      <c r="E53" s="1" t="str">
        <f t="shared" si="3"/>
        <v>Sunday</v>
      </c>
      <c r="F53" s="12" t="str">
        <f t="shared" si="4"/>
        <v>24</v>
      </c>
    </row>
    <row r="54" spans="1:6" x14ac:dyDescent="0.3">
      <c r="A54" s="9" t="s">
        <v>119</v>
      </c>
      <c r="B54" s="13" t="str">
        <f t="shared" si="0"/>
        <v>21016</v>
      </c>
      <c r="C54" s="13" t="str">
        <f t="shared" si="1"/>
        <v>Monday</v>
      </c>
      <c r="D54" s="13" t="str">
        <f t="shared" si="2"/>
        <v>0</v>
      </c>
      <c r="E54" s="10" t="str">
        <f t="shared" si="3"/>
        <v>Sunday</v>
      </c>
      <c r="F54" s="13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topLeftCell="A13" zoomScaleNormal="100" workbookViewId="0">
      <selection activeCell="B25" sqref="B2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166</v>
      </c>
    </row>
    <row r="2" spans="1:3" ht="18" x14ac:dyDescent="0.35">
      <c r="B2" s="39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3" t="s">
        <v>180</v>
      </c>
    </row>
    <row r="7" spans="1:3" ht="15" x14ac:dyDescent="0.35">
      <c r="A7" s="3" t="s">
        <v>152</v>
      </c>
      <c r="B7" s="46" t="s">
        <v>181</v>
      </c>
    </row>
    <row r="8" spans="1:3" x14ac:dyDescent="0.3">
      <c r="B8" s="2" t="s">
        <v>182</v>
      </c>
    </row>
    <row r="9" spans="1:3" x14ac:dyDescent="0.3">
      <c r="B9" s="2" t="s">
        <v>183</v>
      </c>
    </row>
    <row r="10" spans="1:3" x14ac:dyDescent="0.3">
      <c r="B10" s="2" t="s">
        <v>184</v>
      </c>
    </row>
    <row r="11" spans="1:3" x14ac:dyDescent="0.3">
      <c r="B11" s="2" t="s">
        <v>185</v>
      </c>
    </row>
    <row r="13" spans="1:3" ht="23.4" x14ac:dyDescent="0.45">
      <c r="A13" s="18" t="s">
        <v>161</v>
      </c>
    </row>
    <row r="14" spans="1:3" ht="14.4" x14ac:dyDescent="0.3">
      <c r="A14" s="32" t="s">
        <v>86</v>
      </c>
      <c r="B14" s="17" t="s">
        <v>87</v>
      </c>
      <c r="C14" s="17" t="s">
        <v>88</v>
      </c>
    </row>
    <row r="15" spans="1:3" ht="14.4" x14ac:dyDescent="0.3">
      <c r="A15" s="32">
        <v>44927</v>
      </c>
      <c r="B15" s="17" t="s">
        <v>59</v>
      </c>
      <c r="C15" s="17">
        <v>200</v>
      </c>
    </row>
    <row r="16" spans="1:3" ht="14.4" x14ac:dyDescent="0.3">
      <c r="A16" s="32">
        <v>44928</v>
      </c>
      <c r="B16" s="17" t="s">
        <v>60</v>
      </c>
      <c r="C16" s="17" t="e">
        <v>#N/A</v>
      </c>
    </row>
    <row r="17" spans="1:3" ht="14.4" x14ac:dyDescent="0.3">
      <c r="A17" s="32">
        <v>44929</v>
      </c>
      <c r="B17" s="17" t="s">
        <v>61</v>
      </c>
      <c r="C17" s="17">
        <v>50</v>
      </c>
    </row>
    <row r="18" spans="1:3" ht="14.4" x14ac:dyDescent="0.3">
      <c r="A18" s="32">
        <v>44930</v>
      </c>
      <c r="B18" s="17" t="s">
        <v>62</v>
      </c>
      <c r="C18" s="17" t="e">
        <v>#N/A</v>
      </c>
    </row>
    <row r="19" spans="1:3" ht="14.4" x14ac:dyDescent="0.3">
      <c r="A19" s="32">
        <v>44931</v>
      </c>
      <c r="B19" s="17" t="s">
        <v>63</v>
      </c>
      <c r="C19" s="17">
        <v>10</v>
      </c>
    </row>
    <row r="20" spans="1:3" ht="14.4" x14ac:dyDescent="0.3">
      <c r="A20" s="32">
        <v>44932</v>
      </c>
      <c r="B20" s="17" t="s">
        <v>153</v>
      </c>
      <c r="C20" s="17">
        <v>150</v>
      </c>
    </row>
    <row r="21" spans="1:3" ht="14.4" x14ac:dyDescent="0.3">
      <c r="A21" s="32">
        <v>44933</v>
      </c>
      <c r="B21" s="17" t="s">
        <v>154</v>
      </c>
      <c r="C21" s="17">
        <v>80</v>
      </c>
    </row>
    <row r="22" spans="1:3" ht="14.4" x14ac:dyDescent="0.3">
      <c r="A22" s="32">
        <v>44934</v>
      </c>
      <c r="B22" s="17" t="s">
        <v>155</v>
      </c>
      <c r="C22" s="17" t="e">
        <v>#N/A</v>
      </c>
    </row>
    <row r="23" spans="1:3" ht="14.4" x14ac:dyDescent="0.3">
      <c r="A23" s="32">
        <v>44935</v>
      </c>
      <c r="B23" s="17" t="s">
        <v>156</v>
      </c>
      <c r="C23" s="17">
        <v>30</v>
      </c>
    </row>
    <row r="24" spans="1:3" ht="14.4" x14ac:dyDescent="0.3">
      <c r="A24" s="32">
        <v>44936</v>
      </c>
      <c r="B24" s="17" t="s">
        <v>157</v>
      </c>
      <c r="C24" s="17" t="e">
        <v>#N/A</v>
      </c>
    </row>
    <row r="25" spans="1:3" ht="14.4" x14ac:dyDescent="0.3">
      <c r="B25" s="49" t="s">
        <v>158</v>
      </c>
      <c r="C25" s="48">
        <f>SUMIF(C15:C24, "&lt;&gt;#N/A", C15:C24) + COUNTIF(C15:C24, "#N/A") * 20</f>
        <v>600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topLeftCell="A17" zoomScaleNormal="100" workbookViewId="0">
      <selection activeCell="E31" sqref="E3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150</v>
      </c>
    </row>
    <row r="4" spans="1:14" ht="18" x14ac:dyDescent="0.35">
      <c r="A4" s="42" t="s">
        <v>53</v>
      </c>
      <c r="B4" s="1" t="s">
        <v>186</v>
      </c>
    </row>
    <row r="5" spans="1:14" ht="18" x14ac:dyDescent="0.35">
      <c r="A5" s="42" t="s">
        <v>152</v>
      </c>
      <c r="B5" s="46" t="s">
        <v>187</v>
      </c>
    </row>
    <row r="6" spans="1:14" ht="14.4" x14ac:dyDescent="0.3">
      <c r="A6" s="3"/>
      <c r="B6" s="46" t="s">
        <v>188</v>
      </c>
    </row>
    <row r="7" spans="1:14" x14ac:dyDescent="0.3">
      <c r="B7" s="46" t="s">
        <v>189</v>
      </c>
    </row>
    <row r="8" spans="1:14" ht="23.4" x14ac:dyDescent="0.45">
      <c r="A8" s="18"/>
      <c r="B8" s="46" t="s">
        <v>190</v>
      </c>
      <c r="M8" s="18"/>
    </row>
    <row r="9" spans="1:14" ht="23.4" x14ac:dyDescent="0.45">
      <c r="A9" s="18"/>
      <c r="B9" s="46"/>
      <c r="M9" s="18"/>
    </row>
    <row r="10" spans="1:14" ht="23.4" x14ac:dyDescent="0.45">
      <c r="A10" s="18" t="s">
        <v>161</v>
      </c>
      <c r="B10" s="46"/>
      <c r="M10" s="18" t="s">
        <v>162</v>
      </c>
    </row>
    <row r="11" spans="1:14" ht="14.4" x14ac:dyDescent="0.3">
      <c r="A11" s="26"/>
      <c r="B11" s="26" t="s">
        <v>89</v>
      </c>
      <c r="C11" s="26" t="s">
        <v>90</v>
      </c>
      <c r="D11" s="26" t="s">
        <v>91</v>
      </c>
      <c r="E11" s="26" t="s">
        <v>92</v>
      </c>
      <c r="F11" s="26" t="s">
        <v>93</v>
      </c>
      <c r="G11" s="26" t="s">
        <v>94</v>
      </c>
      <c r="H11" s="26" t="s">
        <v>95</v>
      </c>
      <c r="I11" s="26" t="s">
        <v>96</v>
      </c>
      <c r="J11" s="26" t="s">
        <v>97</v>
      </c>
      <c r="M11" s="19" t="s">
        <v>43</v>
      </c>
      <c r="N11" s="19" t="s">
        <v>99</v>
      </c>
    </row>
    <row r="12" spans="1:14" ht="14.4" x14ac:dyDescent="0.3">
      <c r="A12" s="26" t="s">
        <v>89</v>
      </c>
      <c r="B12" s="25">
        <v>-1</v>
      </c>
      <c r="C12" s="25">
        <v>95</v>
      </c>
      <c r="D12" s="25">
        <v>-1</v>
      </c>
      <c r="E12" s="25">
        <v>185</v>
      </c>
      <c r="F12" s="25">
        <v>255</v>
      </c>
      <c r="G12" s="25">
        <v>305</v>
      </c>
      <c r="H12" s="25">
        <v>415</v>
      </c>
      <c r="I12" s="25">
        <v>480</v>
      </c>
      <c r="J12" s="25">
        <v>525</v>
      </c>
      <c r="M12" s="12">
        <v>10100</v>
      </c>
      <c r="N12" s="12" t="s">
        <v>89</v>
      </c>
    </row>
    <row r="13" spans="1:14" ht="14.4" x14ac:dyDescent="0.3">
      <c r="A13" s="26" t="s">
        <v>90</v>
      </c>
      <c r="B13" s="25">
        <v>95</v>
      </c>
      <c r="C13" s="25">
        <v>-1</v>
      </c>
      <c r="D13" s="25">
        <v>-1</v>
      </c>
      <c r="E13" s="25">
        <v>90</v>
      </c>
      <c r="F13" s="25">
        <v>160</v>
      </c>
      <c r="G13" s="25">
        <v>210</v>
      </c>
      <c r="H13" s="25">
        <v>325</v>
      </c>
      <c r="I13" s="25">
        <v>390</v>
      </c>
      <c r="J13" s="25">
        <v>430</v>
      </c>
      <c r="M13" s="12">
        <v>10102</v>
      </c>
      <c r="N13" s="12" t="s">
        <v>90</v>
      </c>
    </row>
    <row r="14" spans="1:14" ht="14.4" x14ac:dyDescent="0.3">
      <c r="A14" s="26" t="s">
        <v>91</v>
      </c>
      <c r="B14" s="25">
        <v>-1</v>
      </c>
      <c r="C14" s="25">
        <v>-1</v>
      </c>
      <c r="D14" s="25">
        <v>-1</v>
      </c>
      <c r="E14" s="25">
        <v>60</v>
      </c>
      <c r="F14" s="25">
        <v>130</v>
      </c>
      <c r="G14" s="25">
        <v>180</v>
      </c>
      <c r="H14" s="25">
        <v>295</v>
      </c>
      <c r="I14" s="25">
        <v>355</v>
      </c>
      <c r="J14" s="25">
        <v>400</v>
      </c>
      <c r="M14" s="12">
        <v>10104</v>
      </c>
      <c r="N14" s="12" t="s">
        <v>91</v>
      </c>
    </row>
    <row r="15" spans="1:14" ht="14.4" x14ac:dyDescent="0.3">
      <c r="A15" s="26" t="s">
        <v>92</v>
      </c>
      <c r="B15" s="25">
        <v>185</v>
      </c>
      <c r="C15" s="25">
        <v>90</v>
      </c>
      <c r="D15" s="25">
        <v>60</v>
      </c>
      <c r="E15" s="25">
        <v>-1</v>
      </c>
      <c r="F15" s="25">
        <v>70</v>
      </c>
      <c r="G15" s="25">
        <v>120</v>
      </c>
      <c r="H15" s="25">
        <v>235</v>
      </c>
      <c r="I15" s="25">
        <v>300</v>
      </c>
      <c r="J15" s="25">
        <v>340</v>
      </c>
      <c r="M15" s="12">
        <v>10106</v>
      </c>
      <c r="N15" s="12" t="s">
        <v>92</v>
      </c>
    </row>
    <row r="16" spans="1:14" ht="14.4" x14ac:dyDescent="0.3">
      <c r="A16" s="26" t="s">
        <v>93</v>
      </c>
      <c r="B16" s="25">
        <v>255</v>
      </c>
      <c r="C16" s="25">
        <v>160</v>
      </c>
      <c r="D16" s="25">
        <v>130</v>
      </c>
      <c r="E16" s="25">
        <v>70</v>
      </c>
      <c r="F16" s="25">
        <v>-1</v>
      </c>
      <c r="G16" s="25">
        <v>50</v>
      </c>
      <c r="H16" s="25">
        <v>165</v>
      </c>
      <c r="I16" s="25">
        <v>230</v>
      </c>
      <c r="J16" s="25">
        <v>270</v>
      </c>
      <c r="M16" s="12">
        <v>10108</v>
      </c>
      <c r="N16" s="12" t="s">
        <v>93</v>
      </c>
    </row>
    <row r="17" spans="1:14" ht="14.4" x14ac:dyDescent="0.3">
      <c r="A17" s="26" t="s">
        <v>94</v>
      </c>
      <c r="B17" s="25">
        <v>305</v>
      </c>
      <c r="C17" s="25">
        <v>210</v>
      </c>
      <c r="D17" s="25">
        <v>180</v>
      </c>
      <c r="E17" s="25">
        <v>120</v>
      </c>
      <c r="F17" s="25">
        <v>50</v>
      </c>
      <c r="G17" s="25">
        <v>-1</v>
      </c>
      <c r="H17" s="25">
        <v>115</v>
      </c>
      <c r="I17" s="25">
        <v>180</v>
      </c>
      <c r="J17" s="25">
        <v>220</v>
      </c>
      <c r="M17" s="12">
        <v>10110</v>
      </c>
      <c r="N17" s="12" t="s">
        <v>94</v>
      </c>
    </row>
    <row r="18" spans="1:14" ht="14.4" x14ac:dyDescent="0.3">
      <c r="A18" s="26" t="s">
        <v>95</v>
      </c>
      <c r="B18" s="25">
        <v>415</v>
      </c>
      <c r="C18" s="25">
        <v>325</v>
      </c>
      <c r="D18" s="25">
        <v>295</v>
      </c>
      <c r="E18" s="25">
        <v>235</v>
      </c>
      <c r="F18" s="25">
        <v>165</v>
      </c>
      <c r="G18" s="25">
        <v>115</v>
      </c>
      <c r="H18" s="25">
        <v>-1</v>
      </c>
      <c r="I18" s="25">
        <v>65</v>
      </c>
      <c r="J18" s="25">
        <v>105</v>
      </c>
      <c r="M18" s="12">
        <v>10112</v>
      </c>
      <c r="N18" s="12" t="s">
        <v>95</v>
      </c>
    </row>
    <row r="19" spans="1:14" ht="14.4" x14ac:dyDescent="0.3">
      <c r="A19" s="26" t="s">
        <v>96</v>
      </c>
      <c r="B19" s="25">
        <v>480</v>
      </c>
      <c r="C19" s="25">
        <v>390</v>
      </c>
      <c r="D19" s="25">
        <v>355</v>
      </c>
      <c r="E19" s="25">
        <v>300</v>
      </c>
      <c r="F19" s="25">
        <v>230</v>
      </c>
      <c r="G19" s="25">
        <v>180</v>
      </c>
      <c r="H19" s="25">
        <v>65</v>
      </c>
      <c r="I19" s="25">
        <v>-1</v>
      </c>
      <c r="J19" s="25">
        <v>40</v>
      </c>
      <c r="M19" s="12">
        <v>10114</v>
      </c>
      <c r="N19" s="12" t="s">
        <v>96</v>
      </c>
    </row>
    <row r="20" spans="1:14" ht="14.4" x14ac:dyDescent="0.3">
      <c r="A20" s="26" t="s">
        <v>97</v>
      </c>
      <c r="B20" s="25">
        <v>525</v>
      </c>
      <c r="C20" s="25">
        <v>430</v>
      </c>
      <c r="D20" s="25">
        <v>400</v>
      </c>
      <c r="E20" s="25">
        <v>340</v>
      </c>
      <c r="F20" s="25">
        <v>270</v>
      </c>
      <c r="G20" s="25">
        <v>220</v>
      </c>
      <c r="H20" s="25">
        <v>105</v>
      </c>
      <c r="I20" s="25">
        <v>40</v>
      </c>
      <c r="J20" s="25">
        <v>-1</v>
      </c>
      <c r="M20" s="13">
        <v>10116</v>
      </c>
      <c r="N20" s="13" t="s">
        <v>97</v>
      </c>
    </row>
    <row r="23" spans="1:14" ht="23.4" x14ac:dyDescent="0.45">
      <c r="A23" s="18" t="s">
        <v>167</v>
      </c>
    </row>
    <row r="24" spans="1:14" ht="14.4" x14ac:dyDescent="0.3">
      <c r="A24" s="14" t="s">
        <v>100</v>
      </c>
      <c r="B24" s="17" t="s">
        <v>101</v>
      </c>
      <c r="C24" s="16" t="s">
        <v>102</v>
      </c>
    </row>
    <row r="25" spans="1:14" ht="14.4" x14ac:dyDescent="0.3">
      <c r="A25" s="7">
        <v>10100</v>
      </c>
      <c r="B25" s="12">
        <v>10102</v>
      </c>
      <c r="C25" s="50">
        <f>IFERROR(INDEX($B$12:$J$20, MATCH(VLOOKUP(A25, $M$12:$N$20, 2, FALSE), $A$12:$A$20, 0), MATCH(VLOOKUP(B25, $M$12:$N$20, 2, FALSE), $B$11:$J$11, 0)), "Not Found")</f>
        <v>95</v>
      </c>
    </row>
    <row r="26" spans="1:14" ht="14.4" x14ac:dyDescent="0.3">
      <c r="A26" s="7">
        <v>10100</v>
      </c>
      <c r="B26" s="12">
        <v>10104</v>
      </c>
      <c r="C26" s="50">
        <f t="shared" ref="C26:C37" si="0">IFERROR(INDEX($B$12:$J$20, MATCH(VLOOKUP(A26, $M$12:$N$20, 2, FALSE), $A$12:$A$20, 0), MATCH(VLOOKUP(B26, $M$12:$N$20, 2, FALSE), $B$11:$J$11, 0)), "Not Found")</f>
        <v>-1</v>
      </c>
    </row>
    <row r="27" spans="1:14" ht="14.4" x14ac:dyDescent="0.3">
      <c r="A27" s="7">
        <v>10108</v>
      </c>
      <c r="B27" s="12">
        <v>10102</v>
      </c>
      <c r="C27" s="50">
        <f t="shared" si="0"/>
        <v>160</v>
      </c>
    </row>
    <row r="28" spans="1:14" ht="14.4" x14ac:dyDescent="0.3">
      <c r="A28" s="7">
        <v>10100</v>
      </c>
      <c r="B28" s="12">
        <v>10106</v>
      </c>
      <c r="C28" s="50">
        <f t="shared" si="0"/>
        <v>185</v>
      </c>
    </row>
    <row r="29" spans="1:14" ht="14.4" x14ac:dyDescent="0.3">
      <c r="A29" s="7">
        <v>10108</v>
      </c>
      <c r="B29" s="12">
        <v>10110</v>
      </c>
      <c r="C29" s="50">
        <f t="shared" si="0"/>
        <v>50</v>
      </c>
    </row>
    <row r="30" spans="1:14" ht="14.4" x14ac:dyDescent="0.3">
      <c r="A30" s="7">
        <v>10102</v>
      </c>
      <c r="B30" s="12">
        <v>10104</v>
      </c>
      <c r="C30" s="50">
        <f t="shared" si="0"/>
        <v>-1</v>
      </c>
    </row>
    <row r="31" spans="1:14" ht="14.4" x14ac:dyDescent="0.3">
      <c r="A31" s="7">
        <v>10106</v>
      </c>
      <c r="B31" s="12">
        <v>10108</v>
      </c>
      <c r="C31" s="50">
        <f t="shared" si="0"/>
        <v>70</v>
      </c>
    </row>
    <row r="32" spans="1:14" ht="14.4" x14ac:dyDescent="0.3">
      <c r="A32" s="7">
        <v>10102</v>
      </c>
      <c r="B32" s="12">
        <v>10106</v>
      </c>
      <c r="C32" s="50">
        <f t="shared" si="0"/>
        <v>90</v>
      </c>
    </row>
    <row r="33" spans="1:3" ht="14.4" x14ac:dyDescent="0.3">
      <c r="A33" s="7">
        <v>10110</v>
      </c>
      <c r="B33" s="12">
        <v>10114</v>
      </c>
      <c r="C33" s="50">
        <f t="shared" si="0"/>
        <v>180</v>
      </c>
    </row>
    <row r="34" spans="1:3" ht="14.4" x14ac:dyDescent="0.3">
      <c r="A34" s="7">
        <v>10104</v>
      </c>
      <c r="B34" s="12">
        <v>10106</v>
      </c>
      <c r="C34" s="50">
        <f t="shared" si="0"/>
        <v>60</v>
      </c>
    </row>
    <row r="35" spans="1:3" ht="14.4" x14ac:dyDescent="0.3">
      <c r="A35" s="7">
        <v>10110</v>
      </c>
      <c r="B35" s="12">
        <v>10112</v>
      </c>
      <c r="C35" s="50">
        <f t="shared" si="0"/>
        <v>115</v>
      </c>
    </row>
    <row r="36" spans="1:3" ht="14.4" x14ac:dyDescent="0.3">
      <c r="A36" s="7">
        <v>10100</v>
      </c>
      <c r="B36" s="12">
        <v>10114</v>
      </c>
      <c r="C36" s="50">
        <f t="shared" si="0"/>
        <v>480</v>
      </c>
    </row>
    <row r="37" spans="1:3" ht="14.4" x14ac:dyDescent="0.3">
      <c r="A37" s="9">
        <v>10112</v>
      </c>
      <c r="B37" s="13">
        <v>10116</v>
      </c>
      <c r="C37" s="51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218882</cp:lastModifiedBy>
  <cp:lastPrinted>2024-10-23T09:59:45Z</cp:lastPrinted>
  <dcterms:created xsi:type="dcterms:W3CDTF">2015-02-10T17:33:11Z</dcterms:created>
  <dcterms:modified xsi:type="dcterms:W3CDTF">2024-10-23T10:00:30Z</dcterms:modified>
</cp:coreProperties>
</file>